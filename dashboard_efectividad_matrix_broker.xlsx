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finiciones" sheetId="2" state="visible" r:id="rId4"/>
    <sheet name="Simulador Mejor Ofer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<sst xmlns="http://schemas.openxmlformats.org/spreadsheetml/2006/main" count="178" uniqueCount="117">
  <si>
    <t xml:space="preserve">Dashboard de Efectividad — Matrix Broker</t>
  </si>
  <si>
    <t xml:space="preserve">Scorecard mensual | Cadena: Setup → Eficiencia de carga IA → Uso recurrente → Negocio (Mejor Oferta) | Celdas amarillas = ingresar dato del mes</t>
  </si>
  <si>
    <t xml:space="preserve">Bloque</t>
  </si>
  <si>
    <t xml:space="preserve">Indicador</t>
  </si>
  <si>
    <t xml:space="preserve">Definición / fórmula</t>
  </si>
  <si>
    <t xml:space="preserve">Dueño</t>
  </si>
  <si>
    <t xml:space="preserve">Meta</t>
  </si>
  <si>
    <t xml:space="preserve">Jun-26</t>
  </si>
  <si>
    <t xml:space="preserve">Jul-26</t>
  </si>
  <si>
    <t xml:space="preserve">Ago-26</t>
  </si>
  <si>
    <t xml:space="preserve">Sep-26</t>
  </si>
  <si>
    <t xml:space="preserve">Oct-26</t>
  </si>
  <si>
    <t xml:space="preserve">Nov-26</t>
  </si>
  <si>
    <t xml:space="preserve">Dic-26</t>
  </si>
  <si>
    <t xml:space="preserve">Setup</t>
  </si>
  <si>
    <t xml:space="preserve">Gate 1 — Corredores con MB contratado</t>
  </si>
  <si>
    <t xml:space="preserve">Licencias activas vigentes al cierre del mes</t>
  </si>
  <si>
    <t xml:space="preserve">Comercial</t>
  </si>
  <si>
    <t xml:space="preserve">Crecer</t>
  </si>
  <si>
    <t xml:space="preserve">Gate 2 — Corredores con producción cargada</t>
  </si>
  <si>
    <t xml:space="preserve">Corredores con su cartera inicial cargada en MB</t>
  </si>
  <si>
    <t xml:space="preserve">Implementación</t>
  </si>
  <si>
    <t xml:space="preserve">≥85%</t>
  </si>
  <si>
    <t xml:space="preserve">% Onboarding completado</t>
  </si>
  <si>
    <t xml:space="preserve">Gate 2 / Gate 1</t>
  </si>
  <si>
    <t xml:space="preserve">Eficiencia carga IA</t>
  </si>
  <si>
    <t xml:space="preserve">Pólizas cargadas en el mes (carga masiva)</t>
  </si>
  <si>
    <t xml:space="preserve">Total pólizas procesadas por el motor IA</t>
  </si>
  <si>
    <t xml:space="preserve">Célula IA</t>
  </si>
  <si>
    <t xml:space="preserve">Minutos por póliza (punta a punta)</t>
  </si>
  <si>
    <t xml:space="preserve">Tiempo total flujo / pólizas cargadas, incluye corrección manual</t>
  </si>
  <si>
    <t xml:space="preserve">≤3,0</t>
  </si>
  <si>
    <t xml:space="preserve">% carga sin intervención</t>
  </si>
  <si>
    <t xml:space="preserve">Pólizas sin corrección manual / total cargadas</t>
  </si>
  <si>
    <t xml:space="preserve">≥80%</t>
  </si>
  <si>
    <t xml:space="preserve">Horas-hombre liberadas vs baseline 5 min</t>
  </si>
  <si>
    <t xml:space="preserve">(5 − min/póliza) × pólizas / 60</t>
  </si>
  <si>
    <t xml:space="preserve">Maximizar</t>
  </si>
  <si>
    <t xml:space="preserve">Uso recurrente</t>
  </si>
  <si>
    <t xml:space="preserve">★ Corredores con producción no-portal recurrente</t>
  </si>
  <si>
    <t xml:space="preserve">≥1 póliza no-ANS emitida en el mes y en el mes anterior</t>
  </si>
  <si>
    <t xml:space="preserve">Producto</t>
  </si>
  <si>
    <t xml:space="preserve">Definir</t>
  </si>
  <si>
    <t xml:space="preserve">★ % adopción comercial (sobre onboarded)</t>
  </si>
  <si>
    <t xml:space="preserve">Recurrentes / Gate 2</t>
  </si>
  <si>
    <t xml:space="preserve">Corredores activos en Cobranzas</t>
  </si>
  <si>
    <t xml:space="preserve">≥1 acción en el módulo en el mes</t>
  </si>
  <si>
    <t xml:space="preserve">Corredores activos en Renovaciones</t>
  </si>
  <si>
    <t xml:space="preserve">Corredores activos en Endosos</t>
  </si>
  <si>
    <t xml:space="preserve">Corredores activos en Consulta de cartera</t>
  </si>
  <si>
    <t xml:space="preserve">Negocio — Mejor Oferta</t>
  </si>
  <si>
    <t xml:space="preserve">Pólizas no-ANS cargadas (base)</t>
  </si>
  <si>
    <t xml:space="preserve">Stock de pólizas de compañías que no operan con ANS</t>
  </si>
  <si>
    <t xml:space="preserve">Ofertas generadas</t>
  </si>
  <si>
    <t xml:space="preserve">Pólizas con oferta Mejor Oferta emitida</t>
  </si>
  <si>
    <t xml:space="preserve">—</t>
  </si>
  <si>
    <t xml:space="preserve">1. Ofertabilidad</t>
  </si>
  <si>
    <t xml:space="preserve">Ofertas generadas / pólizas no-ANS cargadas</t>
  </si>
  <si>
    <t xml:space="preserve">≥70%</t>
  </si>
  <si>
    <t xml:space="preserve">Pólizas vendidas vía Mejor Oferta</t>
  </si>
  <si>
    <t xml:space="preserve">Cierres efectivos sobre ofertas generadas</t>
  </si>
  <si>
    <t xml:space="preserve">2. Conversión a venta</t>
  </si>
  <si>
    <t xml:space="preserve">Vendidas / ofertas generadas</t>
  </si>
  <si>
    <t xml:space="preserve">Efectividad total de la cadena</t>
  </si>
  <si>
    <t xml:space="preserve">Vendidas / pólizas no-ANS cargadas (efecto compuesto)</t>
  </si>
  <si>
    <t xml:space="preserve">Transversal</t>
  </si>
  <si>
    <t xml:space="preserve">Leyenda</t>
  </si>
  <si>
    <t xml:space="preserve">Celda amarilla / texto azul</t>
  </si>
  <si>
    <t xml:space="preserve">Dato a ingresar mensualmente (input)</t>
  </si>
  <si>
    <t xml:space="preserve">Texto negro</t>
  </si>
  <si>
    <t xml:space="preserve">Cálculo automático (no tocar)</t>
  </si>
  <si>
    <t xml:space="preserve">★</t>
  </si>
  <si>
    <t xml:space="preserve">Indicador estrella — el que se lleva a directorio</t>
  </si>
  <si>
    <t xml:space="preserve">Min/póliza punta a punta</t>
  </si>
  <si>
    <t xml:space="preserve">Desde ingreso del documento hasta póliza validada en MB, incluye corrección manual</t>
  </si>
  <si>
    <t xml:space="preserve">Definiciones operativas de los indicadores</t>
  </si>
  <si>
    <t xml:space="preserve">Cerrar estas definiciones con TI antes de la primera medición para asegurar consistencia mes a mes.</t>
  </si>
  <si>
    <t xml:space="preserve">Definición operativa</t>
  </si>
  <si>
    <t xml:space="preserve">Fuente de dato</t>
  </si>
  <si>
    <t xml:space="preserve">Frecuencia</t>
  </si>
  <si>
    <t xml:space="preserve">Gate 1 — Contratados</t>
  </si>
  <si>
    <t xml:space="preserve">Corredores con licencia Matrix Broker activa y vigente al último día del mes. Excluye licencias suspendidas o en baja.</t>
  </si>
  <si>
    <t xml:space="preserve">Sistema de licencias / Comercial</t>
  </si>
  <si>
    <t xml:space="preserve">Mensual</t>
  </si>
  <si>
    <t xml:space="preserve">Gate 2 — Producción cargada</t>
  </si>
  <si>
    <t xml:space="preserve">Corredores que completaron la carga inicial de su cartera (al menos una carga de producción histórica registrada). Es binario y acumulativo: una vez cruzado el gate, no se sale.</t>
  </si>
  <si>
    <t xml:space="preserve">MB — registro de cargas</t>
  </si>
  <si>
    <t xml:space="preserve">Pólizas cargadas (carga masiva IA)</t>
  </si>
  <si>
    <t xml:space="preserve">Total de pólizas procesadas por el flujo de carga masiva con IA en el mes, independiente del resultado.</t>
  </si>
  <si>
    <t xml:space="preserve">Motor de carga masiva — log de procesamiento</t>
  </si>
  <si>
    <t xml:space="preserve">Minutos por póliza</t>
  </si>
  <si>
    <t xml:space="preserve">Tiempo punta a punta: desde que el documento entra al flujo hasta que la póliza queda validada y disponible en MB. Incluye tiempo de corrección manual. Promedio mensual.</t>
  </si>
  <si>
    <t xml:space="preserve">Motor de carga masiva — timestamps</t>
  </si>
  <si>
    <t xml:space="preserve">Pólizas que pasaron el flujo completo sin ninguna corrección manual / total de pólizas cargadas en el mes.</t>
  </si>
  <si>
    <t xml:space="preserve">Motor de carga masiva — flag de corrección</t>
  </si>
  <si>
    <t xml:space="preserve">★ Producción no-portal recurrente</t>
  </si>
  <si>
    <t xml:space="preserve">Corredores con ≥1 póliza no-ANS emitida/cargada manualmente en el mes actual Y en el mes inmediatamente anterior. La recurrencia (2 meses consecutivos) es lo que distingue adopción real de uso puntual.</t>
  </si>
  <si>
    <t xml:space="preserve">MB — pólizas por origen y corredor</t>
  </si>
  <si>
    <t xml:space="preserve">Corredores activos por módulo</t>
  </si>
  <si>
    <t xml:space="preserve">≥1 acción registrada en el módulo durante el mes (flag binario). Acciones válidas por módulo a definir con TI: ej. Cobranzas = envío de correo, registro de pago o cambio de estado.</t>
  </si>
  <si>
    <t xml:space="preserve">MB — log de eventos por módulo</t>
  </si>
  <si>
    <t xml:space="preserve">Pólizas no-ANS cargadas (base Mejor Oferta)</t>
  </si>
  <si>
    <t xml:space="preserve">Stock vigente de pólizas de compañías que no operan con ANS, cargadas en MB y con vigencia activa. Es la base ofertable teórica.</t>
  </si>
  <si>
    <t xml:space="preserve">MB — cartera por compañía</t>
  </si>
  <si>
    <t xml:space="preserve">Ofertabilidad</t>
  </si>
  <si>
    <t xml:space="preserve">Pólizas con oferta Mejor Oferta generada en el mes / stock de pólizas no-ANS vigentes. Las no ofertables se clasifican por causa: datos incompletos, ramo sin producto equivalente, regla de negocio.</t>
  </si>
  <si>
    <t xml:space="preserve">Motor Mejor Oferta</t>
  </si>
  <si>
    <t xml:space="preserve">Conversión a venta</t>
  </si>
  <si>
    <t xml:space="preserve">Pólizas efectivamente vendidas (emitidas en ANS) originadas en una oferta Mejor Oferta / ofertas generadas. Considerar ventana de atribución: venta dentro de 90 días desde la oferta.</t>
  </si>
  <si>
    <t xml:space="preserve">Motor Mejor Oferta + emisión ANS</t>
  </si>
  <si>
    <t xml:space="preserve">Vendidas / pólizas no-ANS cargadas. Es el efecto compuesto: ofertabilidad × conversión. El número que resume el ROI de toda la herramienta.</t>
  </si>
  <si>
    <t xml:space="preserve">Cálculo</t>
  </si>
  <si>
    <t xml:space="preserve">Simulador — Efecto compuesto del funnel Mejor Oferta</t>
  </si>
  <si>
    <t xml:space="preserve">Modifica los supuestos en azul para ver el impacto en venta. Útil para fijar metas y mostrar el caso de negocio.</t>
  </si>
  <si>
    <t xml:space="preserve">Pólizas vendidas</t>
  </si>
  <si>
    <t xml:space="preserve">Escenarios de sensibilidad — pólizas vendidas según ofertabilidad y conversión (base 1.000 pólizas)</t>
  </si>
  <si>
    <t xml:space="preserve">Ofertab. \ Conv.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</si>
</sst>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#,##0.0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FCC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12" min="5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7.75" hidden="false" customHeight="true" outlineLevel="0" collapsed="false">
      <c r="A5" s="4" t="s">
        <v>14</v>
      </c>
      <c r="B5" s="5" t="s">
        <v>15</v>
      </c>
      <c r="C5" s="5" t="s">
        <v>16</v>
      </c>
      <c r="D5" s="6" t="s">
        <v>17</v>
      </c>
      <c r="E5" s="6" t="s">
        <v>18</v>
      </c>
      <c r="F5" s="7" t="n">
        <v>150</v>
      </c>
      <c r="G5" s="7"/>
      <c r="H5" s="7"/>
      <c r="I5" s="7"/>
      <c r="J5" s="7"/>
      <c r="K5" s="7"/>
      <c r="L5" s="7"/>
    </row>
    <row r="6" customFormat="false" ht="27.75" hidden="false" customHeight="true" outlineLevel="0" collapsed="false">
      <c r="A6" s="4" t="s">
        <v>14</v>
      </c>
      <c r="B6" s="5" t="s">
        <v>19</v>
      </c>
      <c r="C6" s="5" t="s">
        <v>20</v>
      </c>
      <c r="D6" s="6" t="s">
        <v>21</v>
      </c>
      <c r="E6" s="6" t="s">
        <v>22</v>
      </c>
      <c r="F6" s="7" t="n">
        <v>105</v>
      </c>
      <c r="G6" s="7"/>
      <c r="H6" s="7"/>
      <c r="I6" s="7"/>
      <c r="J6" s="7"/>
      <c r="K6" s="7"/>
      <c r="L6" s="7"/>
    </row>
    <row r="7" customFormat="false" ht="27.75" hidden="false" customHeight="true" outlineLevel="0" collapsed="false">
      <c r="A7" s="4" t="s">
        <v>14</v>
      </c>
      <c r="B7" s="5" t="s">
        <v>23</v>
      </c>
      <c r="C7" s="5" t="s">
        <v>24</v>
      </c>
      <c r="D7" s="6" t="s">
        <v>21</v>
      </c>
      <c r="E7" s="6" t="s">
        <v>22</v>
      </c>
      <c r="F7" s="8" t="n">
        <f aca="false">IF(F5=0,"",F6/F5)</f>
        <v>0.7</v>
      </c>
      <c r="G7" s="8" t="str">
        <f aca="false">IF(G5=0,"",G6/G5)</f>
        <v/>
      </c>
      <c r="H7" s="8" t="str">
        <f aca="false">IF(H5=0,"",H6/H5)</f>
        <v/>
      </c>
      <c r="I7" s="8" t="str">
        <f aca="false">IF(I5=0,"",I6/I5)</f>
        <v/>
      </c>
      <c r="J7" s="8" t="str">
        <f aca="false">IF(J5=0,"",J6/J5)</f>
        <v/>
      </c>
      <c r="K7" s="8" t="str">
        <f aca="false">IF(K5=0,"",K6/K5)</f>
        <v/>
      </c>
      <c r="L7" s="8" t="str">
        <f aca="false">IF(L5=0,"",L6/L5)</f>
        <v/>
      </c>
    </row>
    <row r="8" customFormat="false" ht="27.75" hidden="false" customHeight="true" outlineLevel="0" collapsed="false">
      <c r="A8" s="9" t="s">
        <v>25</v>
      </c>
      <c r="B8" s="10" t="s">
        <v>26</v>
      </c>
      <c r="C8" s="10" t="s">
        <v>27</v>
      </c>
      <c r="D8" s="11" t="s">
        <v>28</v>
      </c>
      <c r="E8" s="11" t="s">
        <v>18</v>
      </c>
      <c r="F8" s="7"/>
      <c r="G8" s="7"/>
      <c r="H8" s="7"/>
      <c r="I8" s="7"/>
      <c r="J8" s="7"/>
      <c r="K8" s="7"/>
      <c r="L8" s="7"/>
    </row>
    <row r="9" customFormat="false" ht="27.75" hidden="false" customHeight="true" outlineLevel="0" collapsed="false">
      <c r="A9" s="9" t="s">
        <v>25</v>
      </c>
      <c r="B9" s="10" t="s">
        <v>29</v>
      </c>
      <c r="C9" s="10" t="s">
        <v>30</v>
      </c>
      <c r="D9" s="11" t="s">
        <v>28</v>
      </c>
      <c r="E9" s="11" t="s">
        <v>31</v>
      </c>
      <c r="F9" s="12" t="n">
        <v>5</v>
      </c>
      <c r="G9" s="12"/>
      <c r="H9" s="12"/>
      <c r="I9" s="12"/>
      <c r="J9" s="12"/>
      <c r="K9" s="12"/>
      <c r="L9" s="12"/>
    </row>
    <row r="10" customFormat="false" ht="27.75" hidden="false" customHeight="true" outlineLevel="0" collapsed="false">
      <c r="A10" s="9" t="s">
        <v>25</v>
      </c>
      <c r="B10" s="10" t="s">
        <v>32</v>
      </c>
      <c r="C10" s="10" t="s">
        <v>33</v>
      </c>
      <c r="D10" s="11" t="s">
        <v>28</v>
      </c>
      <c r="E10" s="11" t="s">
        <v>34</v>
      </c>
      <c r="F10" s="13"/>
      <c r="G10" s="13"/>
      <c r="H10" s="13"/>
      <c r="I10" s="13"/>
      <c r="J10" s="13"/>
      <c r="K10" s="13"/>
      <c r="L10" s="13"/>
    </row>
    <row r="11" customFormat="false" ht="27.75" hidden="false" customHeight="true" outlineLevel="0" collapsed="false">
      <c r="A11" s="9" t="s">
        <v>25</v>
      </c>
      <c r="B11" s="10" t="s">
        <v>35</v>
      </c>
      <c r="C11" s="10" t="s">
        <v>36</v>
      </c>
      <c r="D11" s="11" t="s">
        <v>28</v>
      </c>
      <c r="E11" s="11" t="s">
        <v>37</v>
      </c>
      <c r="F11" s="14" t="str">
        <f aca="false">IF(OR(F8="",F9=""),"",(5-F9)*F8/60)</f>
        <v/>
      </c>
      <c r="G11" s="14" t="str">
        <f aca="false">IF(OR(G8="",G9=""),"",(5-G9)*G8/60)</f>
        <v/>
      </c>
      <c r="H11" s="14" t="str">
        <f aca="false">IF(OR(H8="",H9=""),"",(5-H9)*H8/60)</f>
        <v/>
      </c>
      <c r="I11" s="14" t="str">
        <f aca="false">IF(OR(I8="",I9=""),"",(5-I9)*I8/60)</f>
        <v/>
      </c>
      <c r="J11" s="14" t="str">
        <f aca="false">IF(OR(J8="",J9=""),"",(5-J9)*J8/60)</f>
        <v/>
      </c>
      <c r="K11" s="14" t="str">
        <f aca="false">IF(OR(K8="",K9=""),"",(5-K9)*K8/60)</f>
        <v/>
      </c>
      <c r="L11" s="14" t="str">
        <f aca="false">IF(OR(L8="",L9=""),"",(5-L9)*L8/60)</f>
        <v/>
      </c>
    </row>
    <row r="12" customFormat="false" ht="27.75" hidden="false" customHeight="true" outlineLevel="0" collapsed="false">
      <c r="A12" s="15" t="s">
        <v>38</v>
      </c>
      <c r="B12" s="15" t="s">
        <v>39</v>
      </c>
      <c r="C12" s="16" t="s">
        <v>40</v>
      </c>
      <c r="D12" s="17" t="s">
        <v>41</v>
      </c>
      <c r="E12" s="17" t="s">
        <v>42</v>
      </c>
      <c r="F12" s="7"/>
      <c r="G12" s="7"/>
      <c r="H12" s="7"/>
      <c r="I12" s="7"/>
      <c r="J12" s="7"/>
      <c r="K12" s="7"/>
      <c r="L12" s="7"/>
    </row>
    <row r="13" customFormat="false" ht="27.75" hidden="false" customHeight="true" outlineLevel="0" collapsed="false">
      <c r="A13" s="15" t="s">
        <v>38</v>
      </c>
      <c r="B13" s="15" t="s">
        <v>43</v>
      </c>
      <c r="C13" s="16" t="s">
        <v>44</v>
      </c>
      <c r="D13" s="17" t="s">
        <v>41</v>
      </c>
      <c r="E13" s="17" t="s">
        <v>42</v>
      </c>
      <c r="F13" s="8" t="str">
        <f aca="false">IF(OR(F6=0,F6=""),"",IF(F12="","",F12/F6))</f>
        <v/>
      </c>
      <c r="G13" s="8" t="str">
        <f aca="false">IF(OR(G6=0,G6=""),"",IF(G12="","",G12/G6))</f>
        <v/>
      </c>
      <c r="H13" s="8" t="str">
        <f aca="false">IF(OR(H6=0,H6=""),"",IF(H12="","",H12/H6))</f>
        <v/>
      </c>
      <c r="I13" s="8" t="str">
        <f aca="false">IF(OR(I6=0,I6=""),"",IF(I12="","",I12/I6))</f>
        <v/>
      </c>
      <c r="J13" s="8" t="str">
        <f aca="false">IF(OR(J6=0,J6=""),"",IF(J12="","",J12/J6))</f>
        <v/>
      </c>
      <c r="K13" s="8" t="str">
        <f aca="false">IF(OR(K6=0,K6=""),"",IF(K12="","",K12/K6))</f>
        <v/>
      </c>
      <c r="L13" s="8" t="str">
        <f aca="false">IF(OR(L6=0,L6=""),"",IF(L12="","",L12/L6))</f>
        <v/>
      </c>
    </row>
    <row r="14" customFormat="false" ht="27.75" hidden="false" customHeight="true" outlineLevel="0" collapsed="false">
      <c r="A14" s="18" t="s">
        <v>38</v>
      </c>
      <c r="B14" s="19" t="s">
        <v>45</v>
      </c>
      <c r="C14" s="19" t="s">
        <v>46</v>
      </c>
      <c r="D14" s="20" t="s">
        <v>41</v>
      </c>
      <c r="E14" s="20" t="s">
        <v>42</v>
      </c>
      <c r="F14" s="7"/>
      <c r="G14" s="7"/>
      <c r="H14" s="7"/>
      <c r="I14" s="7"/>
      <c r="J14" s="7"/>
      <c r="K14" s="7"/>
      <c r="L14" s="7"/>
    </row>
    <row r="15" customFormat="false" ht="27.75" hidden="false" customHeight="true" outlineLevel="0" collapsed="false">
      <c r="A15" s="18" t="s">
        <v>38</v>
      </c>
      <c r="B15" s="19" t="s">
        <v>47</v>
      </c>
      <c r="C15" s="19" t="s">
        <v>46</v>
      </c>
      <c r="D15" s="20" t="s">
        <v>41</v>
      </c>
      <c r="E15" s="20" t="s">
        <v>42</v>
      </c>
      <c r="F15" s="7"/>
      <c r="G15" s="7"/>
      <c r="H15" s="7"/>
      <c r="I15" s="7"/>
      <c r="J15" s="7"/>
      <c r="K15" s="7"/>
      <c r="L15" s="7"/>
    </row>
    <row r="16" customFormat="false" ht="27.75" hidden="false" customHeight="true" outlineLevel="0" collapsed="false">
      <c r="A16" s="18" t="s">
        <v>38</v>
      </c>
      <c r="B16" s="19" t="s">
        <v>48</v>
      </c>
      <c r="C16" s="19" t="s">
        <v>46</v>
      </c>
      <c r="D16" s="20" t="s">
        <v>41</v>
      </c>
      <c r="E16" s="20" t="s">
        <v>42</v>
      </c>
      <c r="F16" s="7"/>
      <c r="G16" s="7"/>
      <c r="H16" s="7"/>
      <c r="I16" s="7"/>
      <c r="J16" s="7"/>
      <c r="K16" s="7"/>
      <c r="L16" s="7"/>
    </row>
    <row r="17" customFormat="false" ht="27.75" hidden="false" customHeight="true" outlineLevel="0" collapsed="false">
      <c r="A17" s="18" t="s">
        <v>38</v>
      </c>
      <c r="B17" s="19" t="s">
        <v>49</v>
      </c>
      <c r="C17" s="19" t="s">
        <v>46</v>
      </c>
      <c r="D17" s="20" t="s">
        <v>41</v>
      </c>
      <c r="E17" s="20" t="s">
        <v>42</v>
      </c>
      <c r="F17" s="7"/>
      <c r="G17" s="7"/>
      <c r="H17" s="7"/>
      <c r="I17" s="7"/>
      <c r="J17" s="7"/>
      <c r="K17" s="7"/>
      <c r="L17" s="7"/>
    </row>
    <row r="18" customFormat="false" ht="27.75" hidden="false" customHeight="true" outlineLevel="0" collapsed="false">
      <c r="A18" s="21" t="s">
        <v>50</v>
      </c>
      <c r="B18" s="22" t="s">
        <v>51</v>
      </c>
      <c r="C18" s="22" t="s">
        <v>52</v>
      </c>
      <c r="D18" s="23" t="s">
        <v>41</v>
      </c>
      <c r="E18" s="23" t="s">
        <v>18</v>
      </c>
      <c r="F18" s="7"/>
      <c r="G18" s="7"/>
      <c r="H18" s="7"/>
      <c r="I18" s="7"/>
      <c r="J18" s="7"/>
      <c r="K18" s="7"/>
      <c r="L18" s="7"/>
    </row>
    <row r="19" customFormat="false" ht="27.75" hidden="false" customHeight="true" outlineLevel="0" collapsed="false">
      <c r="A19" s="21" t="s">
        <v>50</v>
      </c>
      <c r="B19" s="22" t="s">
        <v>53</v>
      </c>
      <c r="C19" s="22" t="s">
        <v>54</v>
      </c>
      <c r="D19" s="23" t="s">
        <v>41</v>
      </c>
      <c r="E19" s="23" t="s">
        <v>55</v>
      </c>
      <c r="F19" s="7"/>
      <c r="G19" s="7"/>
      <c r="H19" s="7"/>
      <c r="I19" s="7"/>
      <c r="J19" s="7"/>
      <c r="K19" s="7"/>
      <c r="L19" s="7"/>
    </row>
    <row r="20" customFormat="false" ht="27.75" hidden="false" customHeight="true" outlineLevel="0" collapsed="false">
      <c r="A20" s="21" t="s">
        <v>50</v>
      </c>
      <c r="B20" s="21" t="s">
        <v>56</v>
      </c>
      <c r="C20" s="22" t="s">
        <v>57</v>
      </c>
      <c r="D20" s="23" t="s">
        <v>41</v>
      </c>
      <c r="E20" s="23" t="s">
        <v>58</v>
      </c>
      <c r="F20" s="8" t="str">
        <f aca="false">IF(OR(F18=0,F18=""),"",IF(F19="","",F19/F18))</f>
        <v/>
      </c>
      <c r="G20" s="8" t="str">
        <f aca="false">IF(OR(G18=0,G18=""),"",IF(G19="","",G19/G18))</f>
        <v/>
      </c>
      <c r="H20" s="8" t="str">
        <f aca="false">IF(OR(H18=0,H18=""),"",IF(H19="","",H19/H18))</f>
        <v/>
      </c>
      <c r="I20" s="8" t="str">
        <f aca="false">IF(OR(I18=0,I18=""),"",IF(I19="","",I19/I18))</f>
        <v/>
      </c>
      <c r="J20" s="8" t="str">
        <f aca="false">IF(OR(J18=0,J18=""),"",IF(J19="","",J19/J18))</f>
        <v/>
      </c>
      <c r="K20" s="8" t="str">
        <f aca="false">IF(OR(K18=0,K18=""),"",IF(K19="","",K19/K18))</f>
        <v/>
      </c>
      <c r="L20" s="8" t="str">
        <f aca="false">IF(OR(L18=0,L18=""),"",IF(L19="","",L19/L18))</f>
        <v/>
      </c>
    </row>
    <row r="21" customFormat="false" ht="27.75" hidden="false" customHeight="true" outlineLevel="0" collapsed="false">
      <c r="A21" s="21" t="s">
        <v>50</v>
      </c>
      <c r="B21" s="22" t="s">
        <v>59</v>
      </c>
      <c r="C21" s="22" t="s">
        <v>60</v>
      </c>
      <c r="D21" s="23" t="s">
        <v>17</v>
      </c>
      <c r="E21" s="23" t="s">
        <v>55</v>
      </c>
      <c r="F21" s="7"/>
      <c r="G21" s="7"/>
      <c r="H21" s="7"/>
      <c r="I21" s="7"/>
      <c r="J21" s="7"/>
      <c r="K21" s="7"/>
      <c r="L21" s="7"/>
    </row>
    <row r="22" customFormat="false" ht="27.75" hidden="false" customHeight="true" outlineLevel="0" collapsed="false">
      <c r="A22" s="21" t="s">
        <v>50</v>
      </c>
      <c r="B22" s="21" t="s">
        <v>61</v>
      </c>
      <c r="C22" s="22" t="s">
        <v>62</v>
      </c>
      <c r="D22" s="23" t="s">
        <v>17</v>
      </c>
      <c r="E22" s="23" t="s">
        <v>42</v>
      </c>
      <c r="F22" s="8" t="str">
        <f aca="false">IF(OR(F19=0,F19=""),"",IF(F21="","",F21/F19))</f>
        <v/>
      </c>
      <c r="G22" s="8" t="str">
        <f aca="false">IF(OR(G19=0,G19=""),"",IF(G21="","",G21/G19))</f>
        <v/>
      </c>
      <c r="H22" s="8" t="str">
        <f aca="false">IF(OR(H19=0,H19=""),"",IF(H21="","",H21/H19))</f>
        <v/>
      </c>
      <c r="I22" s="8" t="str">
        <f aca="false">IF(OR(I19=0,I19=""),"",IF(I21="","",I21/I19))</f>
        <v/>
      </c>
      <c r="J22" s="8" t="str">
        <f aca="false">IF(OR(J19=0,J19=""),"",IF(J21="","",J21/J19))</f>
        <v/>
      </c>
      <c r="K22" s="8" t="str">
        <f aca="false">IF(OR(K19=0,K19=""),"",IF(K21="","",K21/K19))</f>
        <v/>
      </c>
      <c r="L22" s="8" t="str">
        <f aca="false">IF(OR(L19=0,L19=""),"",IF(L21="","",L21/L19))</f>
        <v/>
      </c>
    </row>
    <row r="23" customFormat="false" ht="27.75" hidden="false" customHeight="true" outlineLevel="0" collapsed="false">
      <c r="A23" s="21" t="s">
        <v>50</v>
      </c>
      <c r="B23" s="22" t="s">
        <v>63</v>
      </c>
      <c r="C23" s="22" t="s">
        <v>64</v>
      </c>
      <c r="D23" s="23" t="s">
        <v>65</v>
      </c>
      <c r="E23" s="23" t="s">
        <v>37</v>
      </c>
      <c r="F23" s="8" t="str">
        <f aca="false">IF(OR(F18=0,F18=""),"",IF(F21="","",F21/F18))</f>
        <v/>
      </c>
      <c r="G23" s="8" t="str">
        <f aca="false">IF(OR(G18=0,G18=""),"",IF(G21="","",G21/G18))</f>
        <v/>
      </c>
      <c r="H23" s="8" t="str">
        <f aca="false">IF(OR(H18=0,H18=""),"",IF(H21="","",H21/H18))</f>
        <v/>
      </c>
      <c r="I23" s="8" t="str">
        <f aca="false">IF(OR(I18=0,I18=""),"",IF(I21="","",I21/I18))</f>
        <v/>
      </c>
      <c r="J23" s="8" t="str">
        <f aca="false">IF(OR(J18=0,J18=""),"",IF(J21="","",J21/J18))</f>
        <v/>
      </c>
      <c r="K23" s="8" t="str">
        <f aca="false">IF(OR(K18=0,K18=""),"",IF(K21="","",K21/K18))</f>
        <v/>
      </c>
      <c r="L23" s="8" t="str">
        <f aca="false">IF(OR(L18=0,L18=""),"",IF(L21="","",L21/L18))</f>
        <v/>
      </c>
    </row>
    <row r="26" customFormat="false" ht="15" hidden="false" customHeight="false" outlineLevel="0" collapsed="false">
      <c r="A26" s="24" t="s">
        <v>66</v>
      </c>
    </row>
    <row r="27" customFormat="false" ht="15" hidden="false" customHeight="false" outlineLevel="0" collapsed="false">
      <c r="A27" s="25" t="s">
        <v>67</v>
      </c>
      <c r="B27" s="26" t="s">
        <v>68</v>
      </c>
      <c r="C27" s="26"/>
      <c r="D27" s="26"/>
      <c r="E27" s="26"/>
      <c r="F27" s="26"/>
    </row>
    <row r="28" customFormat="false" ht="15" hidden="false" customHeight="false" outlineLevel="0" collapsed="false">
      <c r="A28" s="25" t="s">
        <v>69</v>
      </c>
      <c r="B28" s="26" t="s">
        <v>70</v>
      </c>
      <c r="C28" s="26"/>
      <c r="D28" s="26"/>
      <c r="E28" s="26"/>
      <c r="F28" s="26"/>
    </row>
    <row r="29" customFormat="false" ht="15" hidden="false" customHeight="false" outlineLevel="0" collapsed="false">
      <c r="A29" s="25" t="s">
        <v>71</v>
      </c>
      <c r="B29" s="26" t="s">
        <v>72</v>
      </c>
      <c r="C29" s="26"/>
      <c r="D29" s="26"/>
      <c r="E29" s="26"/>
      <c r="F29" s="26"/>
    </row>
    <row r="30" customFormat="false" ht="15" hidden="false" customHeight="false" outlineLevel="0" collapsed="false">
      <c r="A30" s="25" t="s">
        <v>73</v>
      </c>
      <c r="B30" s="26" t="s">
        <v>74</v>
      </c>
      <c r="C30" s="26"/>
      <c r="D30" s="26"/>
      <c r="E30" s="26"/>
      <c r="F30" s="26"/>
    </row>
  </sheetData>
  <mergeCells count="6">
    <mergeCell ref="A1:L1"/>
    <mergeCell ref="A2:L2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5"/>
    <col collapsed="false" customWidth="true" hidden="false" outlineLevel="0" max="3" min="3" style="0" width="32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75</v>
      </c>
      <c r="B1" s="1"/>
      <c r="C1" s="1"/>
      <c r="D1" s="1"/>
    </row>
    <row r="2" customFormat="false" ht="15" hidden="false" customHeight="false" outlineLevel="0" collapsed="false">
      <c r="A2" s="2" t="s">
        <v>76</v>
      </c>
      <c r="B2" s="2"/>
      <c r="C2" s="2"/>
      <c r="D2" s="2"/>
    </row>
    <row r="4" customFormat="false" ht="15" hidden="false" customHeight="false" outlineLevel="0" collapsed="false">
      <c r="A4" s="3" t="s">
        <v>3</v>
      </c>
      <c r="B4" s="3" t="s">
        <v>77</v>
      </c>
      <c r="C4" s="3" t="s">
        <v>78</v>
      </c>
      <c r="D4" s="3" t="s">
        <v>79</v>
      </c>
    </row>
    <row r="5" customFormat="false" ht="49.5" hidden="false" customHeight="true" outlineLevel="0" collapsed="false">
      <c r="A5" s="27" t="s">
        <v>80</v>
      </c>
      <c r="B5" s="28" t="s">
        <v>81</v>
      </c>
      <c r="C5" s="28" t="s">
        <v>82</v>
      </c>
      <c r="D5" s="28" t="s">
        <v>83</v>
      </c>
    </row>
    <row r="6" customFormat="false" ht="49.5" hidden="false" customHeight="true" outlineLevel="0" collapsed="false">
      <c r="A6" s="27" t="s">
        <v>84</v>
      </c>
      <c r="B6" s="28" t="s">
        <v>85</v>
      </c>
      <c r="C6" s="28" t="s">
        <v>86</v>
      </c>
      <c r="D6" s="28" t="s">
        <v>83</v>
      </c>
    </row>
    <row r="7" customFormat="false" ht="49.5" hidden="false" customHeight="true" outlineLevel="0" collapsed="false">
      <c r="A7" s="27" t="s">
        <v>87</v>
      </c>
      <c r="B7" s="28" t="s">
        <v>88</v>
      </c>
      <c r="C7" s="28" t="s">
        <v>89</v>
      </c>
      <c r="D7" s="28" t="s">
        <v>83</v>
      </c>
    </row>
    <row r="8" customFormat="false" ht="49.5" hidden="false" customHeight="true" outlineLevel="0" collapsed="false">
      <c r="A8" s="27" t="s">
        <v>90</v>
      </c>
      <c r="B8" s="28" t="s">
        <v>91</v>
      </c>
      <c r="C8" s="28" t="s">
        <v>92</v>
      </c>
      <c r="D8" s="28" t="s">
        <v>83</v>
      </c>
    </row>
    <row r="9" customFormat="false" ht="49.5" hidden="false" customHeight="true" outlineLevel="0" collapsed="false">
      <c r="A9" s="27" t="s">
        <v>32</v>
      </c>
      <c r="B9" s="28" t="s">
        <v>93</v>
      </c>
      <c r="C9" s="28" t="s">
        <v>94</v>
      </c>
      <c r="D9" s="28" t="s">
        <v>83</v>
      </c>
    </row>
    <row r="10" customFormat="false" ht="49.5" hidden="false" customHeight="true" outlineLevel="0" collapsed="false">
      <c r="A10" s="27" t="s">
        <v>95</v>
      </c>
      <c r="B10" s="28" t="s">
        <v>96</v>
      </c>
      <c r="C10" s="28" t="s">
        <v>97</v>
      </c>
      <c r="D10" s="28" t="s">
        <v>83</v>
      </c>
    </row>
    <row r="11" customFormat="false" ht="49.5" hidden="false" customHeight="true" outlineLevel="0" collapsed="false">
      <c r="A11" s="27" t="s">
        <v>98</v>
      </c>
      <c r="B11" s="28" t="s">
        <v>99</v>
      </c>
      <c r="C11" s="28" t="s">
        <v>100</v>
      </c>
      <c r="D11" s="28" t="s">
        <v>83</v>
      </c>
    </row>
    <row r="12" customFormat="false" ht="49.5" hidden="false" customHeight="true" outlineLevel="0" collapsed="false">
      <c r="A12" s="27" t="s">
        <v>101</v>
      </c>
      <c r="B12" s="28" t="s">
        <v>102</v>
      </c>
      <c r="C12" s="28" t="s">
        <v>103</v>
      </c>
      <c r="D12" s="28" t="s">
        <v>83</v>
      </c>
    </row>
    <row r="13" customFormat="false" ht="49.5" hidden="false" customHeight="true" outlineLevel="0" collapsed="false">
      <c r="A13" s="27" t="s">
        <v>104</v>
      </c>
      <c r="B13" s="28" t="s">
        <v>105</v>
      </c>
      <c r="C13" s="28" t="s">
        <v>106</v>
      </c>
      <c r="D13" s="28" t="s">
        <v>83</v>
      </c>
    </row>
    <row r="14" customFormat="false" ht="49.5" hidden="false" customHeight="true" outlineLevel="0" collapsed="false">
      <c r="A14" s="27" t="s">
        <v>107</v>
      </c>
      <c r="B14" s="28" t="s">
        <v>108</v>
      </c>
      <c r="C14" s="28" t="s">
        <v>109</v>
      </c>
      <c r="D14" s="28" t="s">
        <v>83</v>
      </c>
    </row>
    <row r="15" customFormat="false" ht="49.5" hidden="false" customHeight="true" outlineLevel="0" collapsed="false">
      <c r="A15" s="27" t="s">
        <v>63</v>
      </c>
      <c r="B15" s="28" t="s">
        <v>110</v>
      </c>
      <c r="C15" s="28" t="s">
        <v>111</v>
      </c>
      <c r="D15" s="28" t="s">
        <v>83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3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113</v>
      </c>
      <c r="B2" s="2"/>
      <c r="C2" s="2"/>
      <c r="D2" s="2"/>
      <c r="E2" s="2"/>
    </row>
    <row r="4" customFormat="false" ht="15" hidden="false" customHeight="false" outlineLevel="0" collapsed="false">
      <c r="A4" s="29" t="s">
        <v>51</v>
      </c>
      <c r="B4" s="7" t="n">
        <v>1000</v>
      </c>
    </row>
    <row r="5" customFormat="false" ht="15" hidden="false" customHeight="false" outlineLevel="0" collapsed="false">
      <c r="A5" s="29" t="s">
        <v>104</v>
      </c>
      <c r="B5" s="13" t="n">
        <v>0.7</v>
      </c>
    </row>
    <row r="6" customFormat="false" ht="15" hidden="false" customHeight="false" outlineLevel="0" collapsed="false">
      <c r="A6" s="30" t="s">
        <v>53</v>
      </c>
      <c r="B6" s="31" t="n">
        <f aca="false">B4*B5</f>
        <v>700</v>
      </c>
    </row>
    <row r="7" customFormat="false" ht="15" hidden="false" customHeight="false" outlineLevel="0" collapsed="false">
      <c r="A7" s="29" t="s">
        <v>107</v>
      </c>
      <c r="B7" s="13" t="n">
        <v>0.1</v>
      </c>
    </row>
    <row r="8" customFormat="false" ht="15" hidden="false" customHeight="false" outlineLevel="0" collapsed="false">
      <c r="A8" s="30" t="s">
        <v>114</v>
      </c>
      <c r="B8" s="31" t="n">
        <f aca="false">B6*B7</f>
        <v>70</v>
      </c>
    </row>
    <row r="9" customFormat="false" ht="15" hidden="false" customHeight="false" outlineLevel="0" collapsed="false">
      <c r="A9" s="30" t="s">
        <v>63</v>
      </c>
      <c r="B9" s="8" t="n">
        <f aca="false">IF(B4=0,"",B8/B4)</f>
        <v>0.07</v>
      </c>
    </row>
    <row r="11" customFormat="false" ht="15" hidden="false" customHeight="false" outlineLevel="0" collapsed="false">
      <c r="A11" s="32" t="s">
        <v>115</v>
      </c>
      <c r="B11" s="32"/>
      <c r="C11" s="32"/>
      <c r="D11" s="32"/>
      <c r="E11" s="32"/>
    </row>
    <row r="12" customFormat="false" ht="15" hidden="false" customHeight="false" outlineLevel="0" collapsed="false">
      <c r="A12" s="3" t="s">
        <v>116</v>
      </c>
      <c r="B12" s="33" t="n">
        <v>0.05</v>
      </c>
      <c r="C12" s="33" t="n">
        <v>0.08</v>
      </c>
      <c r="D12" s="33" t="n">
        <v>0.1</v>
      </c>
      <c r="E12" s="33" t="n">
        <v>0.12</v>
      </c>
      <c r="F12" s="33" t="n">
        <v>0.15</v>
      </c>
    </row>
    <row r="13" customFormat="false" ht="15" hidden="false" customHeight="false" outlineLevel="0" collapsed="false">
      <c r="A13" s="34" t="n">
        <v>0.5</v>
      </c>
      <c r="B13" s="31" t="n">
        <f aca="false">$B$4*0.5*0.05</f>
        <v>25</v>
      </c>
      <c r="C13" s="31" t="n">
        <f aca="false">$B$4*0.5*0.08</f>
        <v>40</v>
      </c>
      <c r="D13" s="31" t="n">
        <f aca="false">$B$4*0.5*0.1</f>
        <v>50</v>
      </c>
      <c r="E13" s="31" t="n">
        <f aca="false">$B$4*0.5*0.12</f>
        <v>60</v>
      </c>
      <c r="F13" s="31" t="n">
        <f aca="false">$B$4*0.5*0.15</f>
        <v>75</v>
      </c>
    </row>
    <row r="14" customFormat="false" ht="15" hidden="false" customHeight="false" outlineLevel="0" collapsed="false">
      <c r="A14" s="34" t="n">
        <v>0.6</v>
      </c>
      <c r="B14" s="31" t="n">
        <f aca="false">$B$4*0.6*0.05</f>
        <v>30</v>
      </c>
      <c r="C14" s="31" t="n">
        <f aca="false">$B$4*0.6*0.08</f>
        <v>48</v>
      </c>
      <c r="D14" s="31" t="n">
        <f aca="false">$B$4*0.6*0.1</f>
        <v>60</v>
      </c>
      <c r="E14" s="31" t="n">
        <f aca="false">$B$4*0.6*0.12</f>
        <v>72</v>
      </c>
      <c r="F14" s="31" t="n">
        <f aca="false">$B$4*0.6*0.15</f>
        <v>90</v>
      </c>
    </row>
    <row r="15" customFormat="false" ht="15" hidden="false" customHeight="false" outlineLevel="0" collapsed="false">
      <c r="A15" s="34" t="n">
        <v>0.7</v>
      </c>
      <c r="B15" s="31" t="n">
        <f aca="false">$B$4*0.7*0.05</f>
        <v>35</v>
      </c>
      <c r="C15" s="31" t="n">
        <f aca="false">$B$4*0.7*0.08</f>
        <v>56</v>
      </c>
      <c r="D15" s="31" t="n">
        <f aca="false">$B$4*0.7*0.1</f>
        <v>70</v>
      </c>
      <c r="E15" s="31" t="n">
        <f aca="false">$B$4*0.7*0.12</f>
        <v>84</v>
      </c>
      <c r="F15" s="31" t="n">
        <f aca="false">$B$4*0.7*0.15</f>
        <v>105</v>
      </c>
    </row>
    <row r="16" customFormat="false" ht="15" hidden="false" customHeight="false" outlineLevel="0" collapsed="false">
      <c r="A16" s="34" t="n">
        <v>0.8</v>
      </c>
      <c r="B16" s="31" t="n">
        <f aca="false">$B$4*0.8*0.05</f>
        <v>40</v>
      </c>
      <c r="C16" s="31" t="n">
        <f aca="false">$B$4*0.8*0.08</f>
        <v>64</v>
      </c>
      <c r="D16" s="31" t="n">
        <f aca="false">$B$4*0.8*0.1</f>
        <v>80</v>
      </c>
      <c r="E16" s="31" t="n">
        <f aca="false">$B$4*0.8*0.12</f>
        <v>96</v>
      </c>
      <c r="F16" s="31" t="n">
        <f aca="false">$B$4*0.8*0.15</f>
        <v>120</v>
      </c>
    </row>
    <row r="17" customFormat="false" ht="15" hidden="false" customHeight="false" outlineLevel="0" collapsed="false">
      <c r="A17" s="34" t="n">
        <v>0.9</v>
      </c>
      <c r="B17" s="31" t="n">
        <f aca="false">$B$4*0.9*0.05</f>
        <v>45</v>
      </c>
      <c r="C17" s="31" t="n">
        <f aca="false">$B$4*0.9*0.08</f>
        <v>72</v>
      </c>
      <c r="D17" s="31" t="n">
        <f aca="false">$B$4*0.9*0.1</f>
        <v>90</v>
      </c>
      <c r="E17" s="31" t="n">
        <f aca="false">$B$4*0.9*0.12</f>
        <v>108</v>
      </c>
      <c r="F17" s="31" t="n">
        <f aca="false">$B$4*0.9*0.15</f>
        <v>135</v>
      </c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2026-06-11T15:23:51Z</dcterms:created>
  <dc:creator>openpyxl</dc:creator>
  <dc:description/>
  <dc:language>en-US</dc:language>
  <cp:lastModifiedBy/>
  <dcterms:modified xsi:type="dcterms:W3CDTF">2026-06-11T15:23:51Z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